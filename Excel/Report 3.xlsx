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B28F7A0F-5D0F-4DAB-99FC-123DB1E1CF02}" xr6:coauthVersionLast="47" xr6:coauthVersionMax="47" xr10:uidLastSave="{00000000-0000-0000-0000-000000000000}"/>
  <bookViews>
    <workbookView xWindow="-120" yWindow="-120" windowWidth="20730" windowHeight="11760" firstSheet="2" activeTab="6" xr2:uid="{00000000-000D-0000-FFFF-FFFF00000000}"/>
  </bookViews>
  <sheets>
    <sheet name="Sheet3" sheetId="3" state="hidden" r:id="rId1"/>
    <sheet name="Pivot 1" sheetId="4" r:id="rId2"/>
    <sheet name="Pivot 2" sheetId="5" r:id="rId3"/>
    <sheet name="Pivot 3" sheetId="6" r:id="rId4"/>
    <sheet name="Pivot 4" sheetId="7" r:id="rId5"/>
    <sheet name="Pivot 5" sheetId="9" r:id="rId6"/>
    <sheet name="Dashboard" sheetId="10" r:id="rId7"/>
    <sheet name="Data" sheetId="1" r:id="rId8"/>
    <sheet name="Sheet2" sheetId="2" state="hidden" r:id="rId9"/>
  </sheets>
  <definedNames>
    <definedName name="_xlnm._FilterDatabase" localSheetId="7" hidden="1">Data!$A$1:$L$2001</definedName>
  </definedNames>
  <calcPr calcId="191029"/>
  <pivotCaches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<sst xmlns="http://schemas.openxmlformats.org/spreadsheetml/2006/main" count="14175" uniqueCount="2054">
  <si>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</si>
  <si>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</si>
  <si>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</si>
  <si>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</si>
  <si>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</si>
  <si>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</si>
  <si>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</si>
  <si>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</si>
  <si>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</si>
  <si>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</si>
  <si>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</si>
  <si>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</si>
  <si>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</si>
  <si>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</si>
  <si>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</si>
  <si>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</si>
  <si>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</si>
  <si>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</si>
  <si>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</si>
  <si>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</si>
  <si>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</si>
  <si>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</si>
  <si>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</si>
  <si>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</si>
  <si>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</si>
  <si>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</si>
  <si>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</si>
  <si>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</si>
  <si>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</si>
  <si>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</si>
  <si>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</si>
  <si>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</si>
  <si>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</si>
  <si>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</si>
  <si>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</si>
  <si>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</si>
  <si>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</si>
  <si>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</si>
  <si>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</si>
  <si>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</si>
  <si>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</si>
  <si>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</si>
  <si>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</si>
  <si>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</si>
  <si>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</si>
  <si>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</si>
  <si>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</si>
  <si>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</si>
  <si>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</si>
  <si>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</si>
  <si>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</si>
  <si>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</si>
  <si>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</si>
  <si>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</si>
  <si>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</si>
  <si>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</si>
  <si>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</si>
  <si>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</si>
  <si>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</si>
  <si>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</si>
  <si>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</si>
  <si>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</si>
  <si>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</si>
  <si>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</si>
  <si>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</si>
  <si>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</si>
  <si>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</si>
  <si>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</si>
  <si>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</si>
  <si>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</si>
  <si>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</si>
  <si>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</si>
  <si>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</si>
  <si>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</si>
  <si>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</si>
  <si>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</si>
  <si>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</si>
  <si>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</si>
  <si>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</si>
  <si>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</si>
  <si>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</si>
  <si>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</si>
  <si>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</si>
  <si>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</si>
  <si>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</si>
  <si>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</si>
  <si>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</si>
  <si>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</si>
  <si>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</si>
  <si>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</si>
  <si>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</si>
  <si>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</si>
  <si>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</si>
  <si>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</si>
  <si>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</si>
  <si>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</si>
  <si>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</si>
  <si>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</si>
  <si>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</si>
  <si>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</si>
  <si>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</si>
  <si>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</si>
  <si>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</si>
  <si>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</si>
  <si>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</si>
  <si>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</si>
  <si>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</si>
  <si>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</si>
  <si>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</si>
  <si>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</si>
  <si>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</si>
  <si>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</si>
  <si>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</si>
  <si>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</si>
  <si>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</si>
  <si>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</si>
  <si>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</si>
  <si>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</si>
  <si>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</si>
  <si>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</si>
  <si>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</si>
  <si>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</si>
  <si>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</si>
  <si>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</si>
  <si>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</si>
  <si>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</si>
  <si>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</si>
  <si>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</si>
  <si>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</si>
  <si>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</si>
  <si>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</si>
  <si>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</si>
  <si>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</si>
  <si>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</si>
  <si>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</si>
  <si>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</si>
  <si>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</si>
  <si>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</si>
  <si>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</si>
  <si>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</si>
  <si>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</si>
  <si>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</si>
  <si>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</si>
  <si>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</si>
  <si>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</si>
  <si>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</si>
  <si>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</si>
  <si>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</si>
  <si>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</si>
  <si>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</si>
  <si>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</si>
  <si>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</si>
  <si>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</si>
  <si>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</si>
  <si>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</si>
  <si>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</si>
  <si>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</si>
  <si>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</si>
  <si>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</si>
  <si>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</si>
  <si>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</si>
  <si>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</si>
  <si>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</si>
  <si>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</si>
  <si>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</si>
  <si>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</si>
  <si>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</si>
  <si>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</si>
  <si>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</si>
  <si>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</si>
  <si>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</si>
  <si>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</si>
  <si>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</si>
  <si>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</si>
  <si>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</si>
  <si>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</si>
  <si>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</si>
  <si>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</si>
  <si>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</si>
  <si>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</si>
  <si>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</si>
  <si>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</si>
  <si>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</si>
  <si>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</si>
  <si>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</si>
  <si>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</si>
  <si>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</si>
  <si>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</si>
  <si>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</si>
  <si>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</si>
  <si>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</si>
  <si>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</si>
  <si>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</si>
  <si>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</si>
  <si>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</si>
  <si>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</si>
  <si>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</si>
  <si>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</si>
  <si>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</si>
  <si>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</si>
  <si>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</si>
  <si>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</si>
  <si>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</si>
  <si>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</si>
  <si>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</si>
  <si>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</si>
  <si>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</si>
  <si>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</si>
  <si>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</si>
  <si>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</si>
  <si>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</si>
  <si>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</si>
  <si>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</si>
  <si>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</si>
  <si>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</si>
  <si>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</si>
  <si>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</si>
  <si>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</si>
  <si>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</si>
  <si>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</si>
  <si>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</si>
  <si>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</si>
  <si>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</si>
  <si>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</si>
  <si>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</si>
  <si>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</si>
  <si>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</si>
  <si>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</si>
  <si>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</si>
  <si>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</si>
  <si>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</si>
  <si>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</si>
  <si>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</si>
  <si>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</si>
  <si>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</si>
  <si>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</si>
  <si>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</si>
  <si>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</si>
  <si>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</si>
  <si>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</si>
  <si>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</si>
  <si>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</si>
  <si>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</si>
  <si>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</si>
  <si>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</si>
  <si>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</si>
  <si>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</si>
  <si>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</si>
  <si>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</si>
  <si>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</si>
  <si>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</si>
  <si>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</si>
  <si>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</si>
  <si>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</si>
  <si>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</si>
  <si>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</si>
  <si>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</si>
  <si>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</si>
  <si>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</si>
  <si>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</si>
  <si>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</si>
  <si>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</si>
  <si>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</si>
  <si>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</si>
  <si>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</si>
  <si>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</si>
  <si>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</si>
  <si>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</si>
  <si>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</si>
  <si>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</si>
  <si>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</si>
  <si>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</si>
  <si>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</si>
  <si>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</si>
  <si>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</si>
  <si>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</si>
  <si>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</si>
  <si>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</si>
  <si>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</si>
  <si>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</si>
  <si>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</si>
  <si>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</si>
  <si>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</si>
  <si>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</si>
  <si>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</si>
  <si>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</si>
  <si>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</si>
  <si>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</si>
  <si>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</si>
  <si>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</si>
  <si>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</si>
  <si>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</si>
  <si>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</si>
  <si>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</si>
  <si>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</si>
  <si>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</si>
  <si>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</si>
  <si>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</si>
  <si>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</si>
  <si>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</si>
  <si>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</si>
  <si>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</si>
  <si>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</si>
  <si>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</si>
  <si>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</si>
  <si>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</si>
  <si>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</si>
  <si>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</si>
  <si>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</si>
  <si>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</si>
  <si>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</si>
  <si>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</si>
  <si>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</si>
  <si>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</si>
  <si>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</si>
  <si>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</si>
  <si>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</si>
  <si>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</si>
  <si>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</si>
  <si>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</si>
  <si>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</si>
  <si>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</si>
  <si>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</si>
  <si>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</si>
  <si>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</si>
  <si>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</si>
  <si>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</si>
  <si>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</si>
  <si>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</si>
  <si>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</si>
  <si>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</si>
  <si>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</si>
  <si>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</si>
  <si>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</si>
  <si>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</si>
  <si>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</si>
  <si>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</si>
  <si>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</si>
  <si>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</si>
  <si>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</si>
  <si>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</si>
  <si>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</si>
  <si>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</si>
  <si>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</si>
  <si>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</si>
  <si>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</si>
  <si>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</si>
  <si>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</si>
  <si>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</si>
  <si>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</si>
  <si>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</si>
  <si>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</si>
  <si>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</si>
  <si>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</si>
  <si>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</si>
  <si>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</si>
  <si>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</si>
  <si>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</si>
  <si>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</si>
  <si>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</si>
  <si>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</si>
  <si>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</si>
  <si>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</si>
  <si>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</si>
  <si>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</si>
  <si>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</si>
  <si>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</si>
  <si>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</si>
  <si>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</si>
  <si>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</si>
  <si>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</si>
  <si>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</si>
  <si>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</si>
  <si>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</si>
  <si>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</si>
  <si>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</si>
  <si>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</si>
  <si>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</si>
  <si>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</si>
  <si>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</si>
  <si>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</si>
  <si>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</si>
  <si>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</si>
  <si>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</si>
  <si>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</si>
  <si>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</si>
  <si>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</si>
  <si>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</si>
  <si>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</si>
  <si>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</si>
  <si>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</si>
  <si>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</si>
  <si>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</si>
  <si>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</si>
  <si>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</si>
  <si>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</si>
  <si>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</si>
  <si>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</si>
  <si>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</si>
  <si>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</si>
  <si>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</si>
  <si>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</si>
  <si>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</si>
  <si>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</si>
  <si>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</si>
  <si>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</si>
  <si>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</si>
  <si>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</si>
  <si>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</si>
  <si>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</si>
  <si>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</si>
  <si>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</si>
  <si>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</si>
  <si>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</si>
  <si>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</si>
  <si>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</si>
  <si>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</si>
  <si>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</si>
  <si>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</si>
  <si>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</si>
  <si>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</si>
  <si>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</si>
  <si>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</si>
  <si>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</si>
  <si>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</si>
  <si>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</si>
  <si>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</si>
  <si>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</si>
  <si>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</si>
  <si>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</si>
  <si>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</si>
  <si>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</si>
  <si>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</si>
  <si>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</si>
  <si>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</si>
  <si>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</si>
  <si>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</si>
  <si>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</si>
  <si>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</si>
  <si>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</si>
  <si>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</si>
  <si>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</si>
  <si>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</si>
  <si>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</si>
  <si>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</si>
  <si>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</si>
  <si>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</si>
  <si>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</si>
  <si>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</si>
  <si>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</si>
  <si>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</si>
  <si>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</si>
  <si>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</si>
  <si>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</si>
  <si>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</si>
  <si>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</si>
  <si>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</si>
  <si>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</si>
  <si>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</si>
  <si>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</si>
  <si>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</si>
  <si>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</si>
  <si>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</si>
  <si>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</si>
  <si>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</si>
  <si>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</si>
  <si>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</si>
  <si>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</si>
  <si>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</si>
  <si>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</si>
  <si>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</si>
  <si>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</si>
  <si>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</si>
  <si>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</si>
  <si>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</si>
  <si>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</si>
  <si>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</si>
  <si>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</si>
  <si>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</si>
  <si>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</si>
  <si>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</si>
  <si>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</si>
  <si>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</si>
  <si>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</si>
  <si>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</si>
  <si>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</si>
  <si>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</si>
  <si>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</si>
  <si>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</si>
  <si>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</si>
  <si>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</si>
  <si>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</si>
  <si>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</si>
  <si>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</si>
  <si>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</si>
  <si>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</si>
  <si>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</si>
  <si>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</si>
  <si>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</si>
  <si>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</si>
  <si>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</si>
  <si>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</si>
  <si>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</si>
  <si>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</si>
  <si>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</si>
  <si>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</si>
  <si>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</si>
  <si>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</si>
  <si>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</si>
  <si>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</si>
  <si>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</si>
  <si>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</si>
  <si>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</si>
  <si>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</si>
  <si>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</si>
  <si>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</si>
  <si>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</si>
  <si>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</si>
  <si>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</si>
  <si>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</si>
  <si>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</si>
  <si>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</si>
  <si>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</si>
  <si>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</si>
  <si>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</si>
  <si>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</si>
  <si>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</si>
  <si>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</si>
  <si>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</si>
  <si>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</si>
  <si>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</si>
  <si>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</si>
  <si>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</si>
  <si>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</si>
  <si>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</si>
  <si>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</si>
  <si>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</si>
  <si>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</si>
  <si>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</si>
  <si>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</si>
  <si>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</si>
  <si>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</si>
  <si>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</si>
  <si>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</si>
  <si>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</si>
  <si>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</si>
  <si>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</si>
  <si>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</si>
  <si>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</si>
  <si>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</si>
  <si>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</si>
  <si>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</si>
  <si>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</si>
  <si>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</si>
  <si>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</si>
  <si>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</si>
  <si>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</si>
  <si>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</si>
  <si>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</si>
  <si>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</si>
  <si>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</si>
  <si>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</si>
  <si>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</si>
  <si>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</si>
  <si>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</si>
  <si>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</si>
  <si>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</si>
  <si>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</si>
  <si>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</si>
  <si>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</si>
  <si>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</si>
  <si>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</si>
  <si>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</si>
  <si>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</si>
  <si>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</si>
  <si>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</si>
  <si>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</si>
  <si>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</si>
  <si>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</si>
  <si>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</si>
  <si>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</si>
  <si>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</si>
  <si>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</si>
  <si>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</si>
  <si>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</si>
  <si>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</si>
  <si>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</si>
  <si>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</si>
  <si>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</si>
  <si>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</si>
  <si>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</si>
  <si>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</si>
  <si>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</si>
  <si>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</si>
  <si>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</si>
  <si>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</si>
  <si>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</si>
  <si>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</si>
  <si>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</si>
  <si>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</si>
  <si>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</si>
  <si>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</si>
  <si>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</si>
  <si>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</si>
  <si>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</si>
  <si>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</si>
  <si>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</si>
  <si>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</si>
  <si>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</si>
  <si>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</si>
  <si>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</si>
  <si>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</si>
  <si>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</si>
  <si>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</si>
  <si>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</si>
  <si>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</si>
  <si>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</si>
  <si>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</si>
  <si>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</si>
  <si>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</si>
  <si>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</si>
  <si>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</si>
  <si>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</si>
  <si>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</si>
  <si>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</si>
  <si>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</si>
  <si>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</si>
  <si>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</si>
  <si>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</si>
  <si>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</si>
  <si>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</si>
  <si>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</si>
  <si>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</si>
  <si>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</si>
  <si>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</si>
  <si>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</si>
  <si>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</si>
  <si>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</si>
  <si>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</si>
  <si>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</si>
  <si>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</si>
  <si>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</si>
  <si>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</si>
  <si>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</si>
  <si>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</si>
  <si>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</si>
  <si>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</si>
  <si>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</si>
  <si>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</si>
  <si>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</si>
  <si>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</si>
  <si>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</si>
  <si>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</si>
  <si>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</si>
  <si>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</si>
  <si>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</si>
  <si>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</si>
  <si>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</si>
  <si>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</si>
  <si>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</si>
  <si>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</si>
  <si>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</si>
  <si>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</si>
  <si>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</si>
  <si>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</si>
  <si>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</si>
  <si>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</si>
  <si>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</si>
  <si>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</si>
  <si>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</si>
  <si>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</si>
  <si>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</si>
  <si>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</si>
  <si>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</si>
  <si>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</si>
  <si>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</si>
  <si>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</si>
  <si>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</si>
  <si>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</si>
  <si>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</si>
  <si>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</si>
  <si>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</si>
  <si>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</si>
  <si>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</si>
  <si>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</si>
  <si>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</si>
  <si>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</si>
  <si>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</si>
  <si>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</si>
  <si>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</si>
  <si>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</si>
  <si>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</si>
  <si>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</si>
  <si>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</si>
  <si>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</si>
  <si>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</si>
  <si>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</si>
  <si>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</si>
  <si>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</si>
  <si>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</si>
  <si>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</si>
  <si>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</si>
  <si>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</si>
  <si>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</si>
  <si>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</si>
  <si>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</si>
  <si>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</si>
  <si>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</si>
  <si>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</si>
  <si>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</si>
  <si>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</si>
  <si>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</si>
  <si>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</si>
  <si>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</si>
  <si>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</si>
  <si>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</si>
  <si>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</si>
  <si>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</si>
  <si>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</si>
  <si>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</si>
  <si>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</si>
  <si>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</si>
  <si>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</si>
  <si>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</si>
  <si>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</si>
  <si>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</si>
  <si>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</si>
  <si>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</si>
  <si>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</si>
  <si>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</si>
  <si>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</si>
  <si>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</si>
  <si>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</si>
  <si>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</si>
  <si>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</si>
  <si>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</si>
  <si>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</si>
  <si>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</si>
  <si>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</si>
  <si>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</si>
  <si>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</si>
  <si>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</si>
  <si>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</si>
  <si>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</si>
  <si>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</si>
  <si>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</si>
  <si>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</si>
  <si>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</si>
  <si>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</si>
  <si>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</si>
  <si>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</si>
  <si>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</si>
  <si>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</si>
  <si>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</si>
  <si>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</si>
  <si>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</si>
  <si>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</si>
  <si>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</si>
  <si>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</si>
  <si>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</si>
  <si>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</si>
  <si>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</si>
  <si>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</si>
  <si>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</si>
  <si>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</si>
  <si>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</si>
  <si>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</si>
  <si>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</si>
  <si>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</si>
  <si>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</si>
  <si>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</si>
  <si>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</si>
  <si>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</si>
  <si>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</si>
  <si>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</si>
  <si>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</si>
  <si>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</si>
  <si>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</si>
  <si>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</si>
  <si>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</si>
  <si>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</si>
  <si>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</si>
  <si>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</si>
  <si>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</si>
  <si>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</si>
  <si>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</si>
  <si>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</si>
  <si>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</si>
  <si>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</si>
  <si>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</si>
  <si>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</si>
  <si>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</si>
  <si>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</si>
  <si>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</si>
  <si>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</si>
  <si>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</si>
  <si>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</si>
  <si>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</si>
  <si>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</si>
  <si>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</si>
  <si>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</si>
  <si>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</si>
  <si>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</si>
  <si>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</si>
  <si>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</si>
  <si>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</si>
  <si>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</si>
  <si>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</si>
  <si>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</si>
  <si>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</si>
  <si>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</si>
  <si>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</si>
  <si>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</si>
  <si>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</si>
  <si>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</si>
  <si>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</si>
  <si>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</si>
  <si>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</si>
  <si>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</si>
  <si>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</si>
  <si>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</si>
  <si>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</si>
  <si>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</si>
  <si>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</si>
  <si>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</si>
  <si>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</si>
  <si>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</si>
  <si>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</si>
  <si>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</si>
  <si>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</si>
  <si>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</si>
  <si>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</si>
  <si>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</si>
  <si>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</si>
  <si>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</si>
  <si>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</si>
  <si>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</si>
  <si>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</si>
  <si>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</si>
  <si>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</si>
  <si>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</si>
  <si>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</si>
  <si>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</si>
  <si>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</si>
  <si>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</si>
  <si>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</si>
  <si>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</si>
  <si>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</si>
  <si>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</si>
  <si>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</si>
  <si>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</si>
  <si>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</si>
  <si>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</si>
  <si>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</si>
  <si>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</si>
  <si>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</si>
  <si>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</si>
  <si>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</si>
  <si>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</si>
  <si>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</si>
  <si>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</si>
  <si>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</si>
  <si>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</si>
  <si>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</si>
  <si>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</si>
  <si>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</si>
  <si>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</si>
  <si>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</si>
  <si>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</si>
  <si>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</si>
  <si>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</si>
  <si>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</si>
  <si>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</si>
  <si>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</si>
  <si>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</si>
  <si>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</si>
  <si>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</si>
  <si>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</si>
  <si>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</si>
  <si>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</si>
  <si>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</si>
  <si>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</si>
  <si>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</si>
  <si>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</si>
  <si>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</si>
  <si>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</si>
  <si>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</si>
  <si>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</si>
  <si>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</si>
  <si>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</si>
  <si>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</si>
  <si>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</si>
  <si>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</si>
  <si>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</si>
  <si>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</si>
  <si>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</si>
  <si>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</si>
  <si>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</si>
  <si>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</si>
  <si>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</si>
  <si>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</si>
  <si>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</si>
  <si>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</si>
  <si>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</si>
  <si>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</si>
  <si>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</si>
  <si>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</si>
  <si>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</si>
  <si>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</si>
  <si>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</si>
  <si>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</si>
  <si>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</si>
  <si>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</si>
  <si>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</si>
  <si>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</si>
  <si>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</si>
  <si>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</si>
  <si>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</si>
  <si>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</si>
  <si>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</si>
  <si>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</si>
  <si>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</si>
  <si>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</si>
  <si>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</si>
  <si>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</si>
  <si>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</si>
  <si>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</si>
  <si>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</si>
  <si>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</si>
  <si>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</si>
  <si>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</si>
  <si>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</si>
  <si>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</si>
  <si>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</si>
  <si>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</si>
  <si>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</si>
  <si>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</si>
  <si>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</si>
  <si>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</si>
  <si>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</si>
  <si>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</si>
  <si>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</si>
  <si>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</si>
  <si>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</si>
  <si>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</si>
  <si>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</si>
  <si>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</si>
  <si>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</si>
  <si>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</si>
  <si>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</si>
  <si>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</si>
  <si>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</si>
  <si>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</si>
  <si>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</si>
  <si>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</si>
  <si>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</si>
  <si>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</si>
  <si>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</si>
  <si>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</si>
  <si>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</si>
  <si>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</si>
  <si>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</si>
  <si>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</si>
  <si>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</si>
  <si>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</si>
  <si>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</si>
  <si>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</si>
  <si>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</si>
  <si>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</si>
  <si>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</si>
  <si>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</si>
  <si>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</si>
  <si>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</si>
  <si>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</si>
  <si>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</si>
  <si>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</si>
  <si>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</si>
  <si>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</si>
  <si>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</si>
  <si>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</si>
  <si>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</si>
  <si>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</si>
  <si>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</si>
  <si>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</si>
  <si>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</si>
  <si>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</si>
  <si>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</si>
  <si>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</si>
  <si>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</si>
  <si>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</si>
  <si>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</si>
  <si>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</si>
  <si>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</si>
  <si>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</si>
  <si>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</si>
  <si>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</si>
  <si>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</si>
  <si>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</si>
  <si>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</si>
  <si>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</si>
  <si>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</si>
  <si>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</si>
  <si>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</si>
  <si>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</si>
  <si>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</si>
  <si>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</si>
  <si>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</si>
  <si>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</si>
  <si>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</si>
  <si>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</si>
  <si>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</si>
  <si>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</si>
  <si>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</si>
  <si>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</si>
  <si>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</si>
  <si>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</si>
  <si>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</si>
  <si>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</si>
  <si>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</si>
  <si>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</si>
  <si>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</si>
  <si>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</si>
  <si>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</si>
  <si>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</si>
  <si>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</si>
  <si>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</si>
  <si>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</si>
  <si>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</si>
  <si>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</si>
  <si>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</si>
  <si>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</si>
  <si>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</si>
  <si>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</si>
  <si>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</si>
  <si>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</si>
  <si>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</si>
  <si>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</si>
  <si>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</si>
  <si>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</si>
  <si>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</si>
  <si>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</si>
  <si>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</si>
  <si>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</si>
  <si>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</si>
  <si>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</si>
  <si>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</si>
  <si>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</si>
  <si>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</si>
  <si>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</si>
  <si>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</si>
  <si>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</si>
  <si>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</si>
  <si>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</si>
  <si>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</si>
  <si>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</si>
  <si>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</si>
  <si>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</si>
  <si>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</si>
  <si>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</si>
  <si>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</si>
  <si>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</si>
  <si>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</si>
  <si>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</si>
  <si>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</si>
  <si>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</si>
  <si>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</si>
  <si>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</si>
  <si>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</si>
  <si>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</si>
  <si>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</si>
  <si>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</si>
  <si>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</si>
  <si>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</si>
  <si>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</si>
  <si>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</si>
  <si>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</si>
  <si>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</si>
  <si>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</si>
  <si>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</si>
  <si>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</si>
  <si>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</si>
  <si>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</si>
  <si>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</si>
  <si>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</si>
  <si>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</si>
  <si>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</si>
  <si>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</si>
  <si>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</si>
  <si>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</si>
  <si>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</si>
  <si>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</si>
  <si>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</si>
  <si>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</si>
  <si>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</si>
  <si>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</si>
  <si>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</si>
  <si>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</si>
  <si>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</si>
  <si>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</si>
  <si>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</si>
  <si>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</si>
  <si>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</si>
  <si>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</si>
  <si>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</si>
  <si>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</si>
  <si>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</si>
  <si>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</si>
  <si>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</si>
  <si>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</si>
  <si>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</si>
  <si>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</si>
  <si>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</si>
  <si>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</si>
  <si>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</si>
  <si>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</si>
  <si>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</si>
  <si>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</si>
  <si>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</si>
  <si>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</si>
  <si>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</si>
  <si>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</si>
  <si>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</si>
  <si>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</si>
  <si>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</si>
  <si>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</si>
  <si>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</si>
  <si>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</si>
  <si>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</si>
  <si>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</si>
  <si>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</si>
  <si>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</si>
  <si>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</si>
  <si>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</si>
  <si>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</si>
  <si>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</si>
  <si>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</si>
  <si>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</si>
  <si>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</si>
  <si>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</si>
  <si>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</si>
  <si>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</si>
  <si>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</si>
  <si>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</si>
  <si>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</si>
  <si>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</si>
  <si>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</si>
  <si>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</si>
  <si>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</si>
  <si>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</si>
  <si>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</si>
  <si>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</si>
  <si>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</si>
  <si>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</si>
  <si>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</si>
  <si>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</si>
  <si>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</si>
  <si>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</si>
  <si>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</si>
  <si>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</si>
  <si>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</si>
  <si>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</si>
  <si>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</si>
  <si>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</si>
  <si>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</si>
  <si>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</si>
  <si>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</si>
  <si>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</si>
  <si>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</si>
  <si>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</si>
  <si>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</si>
  <si>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</si>
  <si>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</si>
  <si>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</si>
  <si>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</si>
  <si>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</si>
  <si>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</si>
  <si>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</si>
  <si>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</si>
  <si>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</si>
  <si>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</si>
  <si>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</si>
  <si>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</si>
  <si>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</si>
  <si>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</si>
  <si>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</si>
  <si>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</si>
  <si>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</si>
  <si>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</si>
  <si>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</si>
  <si>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</si>
  <si>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</si>
  <si>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</si>
  <si>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</si>
  <si>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</si>
  <si>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</si>
  <si>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</si>
  <si>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</si>
  <si>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</si>
  <si>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</si>
  <si>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</si>
  <si>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</si>
  <si>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</si>
  <si>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</si>
  <si>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</si>
  <si>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</si>
  <si>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</si>
  <si>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</si>
  <si>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</si>
  <si>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</si>
  <si>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</si>
  <si>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</si>
  <si>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</si>
  <si>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</si>
  <si>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</si>
  <si>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</si>
  <si>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</si>
  <si>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</si>
  <si>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</si>
  <si>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</si>
  <si>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</si>
  <si>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</si>
  <si>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</si>
  <si>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</si>
  <si>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</si>
  <si>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</si>
  <si>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</si>
  <si>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</si>
  <si>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</si>
  <si>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</si>
  <si>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</si>
  <si>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</si>
  <si>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</si>
  <si>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</si>
  <si>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</si>
  <si>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</si>
  <si>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</si>
  <si>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</si>
  <si>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</si>
  <si>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</si>
  <si>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</si>
  <si>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</si>
  <si>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</si>
  <si>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</si>
  <si>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</si>
  <si>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</si>
  <si>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</si>
  <si>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</si>
  <si>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</si>
  <si>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</si>
  <si>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</si>
  <si>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</si>
  <si>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</si>
  <si>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</si>
  <si>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</si>
  <si>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</si>
  <si>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</si>
  <si>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</si>
  <si>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</si>
  <si>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</si>
  <si>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</si>
  <si>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</si>
  <si>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</si>
  <si>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</si>
  <si>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</si>
  <si>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</si>
  <si>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</si>
  <si>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</si>
  <si>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</si>
  <si>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</si>
  <si>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</si>
  <si>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</si>
  <si>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</si>
  <si>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</si>
  <si>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</si>
  <si>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</si>
  <si>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</si>
  <si>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</si>
  <si>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</si>
  <si>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</si>
  <si>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</si>
  <si>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</si>
  <si>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</si>
  <si>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</si>
  <si>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</si>
  <si>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</si>
  <si>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</si>
  <si>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</si>
  <si>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</si>
  <si>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</si>
  <si>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</si>
  <si>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</si>
  <si>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</si>
  <si>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</si>
  <si>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</si>
  <si>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</si>
  <si>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</si>
  <si>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</si>
  <si>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</si>
  <si>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</si>
  <si>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</si>
  <si>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</si>
  <si>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</si>
  <si>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</si>
  <si>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</si>
  <si>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</si>
  <si>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</si>
  <si>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</si>
  <si>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</si>
  <si>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</si>
  <si>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</si>
  <si>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</si>
  <si>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</si>
  <si>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</si>
  <si>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</si>
  <si>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</si>
  <si>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</si>
  <si>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</si>
  <si>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</si>
  <si>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</si>
  <si>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</si>
  <si>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</si>
  <si>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</si>
  <si>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</si>
  <si>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</si>
  <si>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</si>
  <si>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</si>
  <si>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</si>
  <si>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</si>
  <si>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</si>
  <si>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</si>
  <si>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</si>
  <si>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</si>
  <si>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</si>
  <si>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</si>
  <si>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</si>
  <si>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</si>
  <si>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</si>
  <si>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</si>
  <si>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</si>
  <si>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</si>
  <si>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</si>
  <si>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</si>
  <si>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</si>
  <si>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</si>
  <si>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</si>
  <si>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</si>
  <si>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</si>
  <si>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</si>
  <si>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</si>
  <si>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</si>
  <si>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</si>
  <si>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</si>
  <si>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</si>
  <si>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</si>
  <si>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</si>
  <si>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</si>
  <si>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</si>
  <si>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</si>
  <si>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</si>
  <si>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</si>
  <si>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</si>
  <si>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</si>
  <si>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</si>
  <si>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</si>
  <si>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</si>
  <si>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</si>
  <si>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</si>
  <si>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</si>
  <si>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</si>
  <si>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</si>
  <si>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</si>
  <si>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</si>
  <si>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</si>
  <si>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</si>
  <si>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</si>
  <si>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</si>
  <si>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</si>
  <si>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</si>
  <si>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</si>
  <si>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</si>
  <si>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</si>
  <si>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</si>
  <si>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</si>
  <si>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</si>
  <si>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</si>
  <si>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</si>
  <si>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</si>
  <si>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</si>
  <si>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</si>
  <si>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</si>
  <si>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</si>
  <si>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</si>
  <si>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</si>
  <si>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</si>
  <si>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</si>
  <si>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</si>
  <si>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</si>
  <si>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</si>
  <si>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</si>
  <si>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</si>
  <si>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</si>
  <si>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</si>
  <si>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</si>
  <si>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</si>
  <si>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</si>
  <si>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</si>
  <si>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</si>
  <si>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</si>
  <si>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</si>
  <si>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</si>
  <si>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</si>
  <si>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</si>
  <si>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</si>
  <si>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</si>
  <si>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</si>
  <si>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</si>
  <si>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</si>
  <si>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</si>
  <si>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</si>
  <si>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</si>
  <si>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</si>
  <si>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</si>
  <si>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</si>
  <si>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</si>
  <si>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</si>
  <si>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</si>
  <si>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</si>
  <si>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</si>
  <si>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</si>
  <si>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</si>
  <si>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</si>
  <si>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</si>
  <si>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</si>
  <si>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</si>
  <si>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</si>
  <si>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</si>
  <si>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</si>
  <si>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</si>
  <si>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</si>
  <si>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</si>
  <si>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</si>
  <si>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</si>
  <si>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</si>
  <si>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</si>
  <si>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</si>
  <si>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</si>
  <si>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</si>
  <si>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</si>
  <si>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</si>
  <si>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</si>
  <si>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</si>
  <si>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</si>
  <si>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</si>
  <si>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</si>
  <si>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</si>
  <si>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</si>
  <si>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</si>
  <si>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</si>
  <si>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</si>
  <si>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</si>
  <si>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</si>
  <si>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</si>
  <si>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</si>
  <si>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</si>
  <si>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</si>
  <si>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</si>
  <si>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</si>
  <si>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</si>
  <si>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</si>
  <si>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</si>
  <si>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</si>
  <si>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</si>
  <si>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</si>
  <si>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</si>
  <si>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</si>
  <si>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</si>
  <si>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</si>
  <si>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</si>
  <si>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</si>
  <si>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</si>
  <si>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</si>
  <si>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</si>
  <si>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</si>
  <si>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</si>
  <si>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</si>
  <si>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</si>
  <si>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</si>
  <si>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</si>
  <si>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</si>
  <si>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</si>
  <si>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</si>
  <si>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</si>
  <si>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</si>
  <si>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</si>
  <si>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</si>
  <si>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</si>
  <si>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</si>
  <si>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</si>
  <si>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</si>
  <si>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</si>
  <si>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</si>
  <si>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</si>
  <si>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</si>
  <si>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</si>
  <si>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</si>
  <si>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</si>
  <si>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</si>
  <si>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</si>
  <si>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</si>
  <si>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</si>
  <si>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</si>
  <si>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</si>
  <si>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</si>
  <si>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</si>
  <si>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</si>
  <si>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</si>
  <si>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</si>
  <si>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</si>
  <si>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</si>
  <si>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</si>
  <si>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</si>
  <si>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</si>
  <si>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</si>
  <si>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</si>
  <si>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</si>
  <si>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</si>
  <si>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</si>
  <si>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</si>
  <si>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</si>
  <si>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</si>
  <si>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</si>
  <si>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</si>
  <si>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</si>
  <si>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</si>
  <si>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</si>
  <si>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</si>
  <si>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</si>
  <si>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</si>
  <si>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</si>
  <si>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</si>
  <si>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</si>
  <si>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</si>
  <si>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</si>
  <si>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</si>
  <si>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</si>
  <si>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</si>
  <si>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</si>
  <si>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</si>
  <si>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</si>
  <si>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</si>
  <si>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</si>
  <si>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</si>
  <si>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</si>
  <si>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</si>
  <si>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</si>
  <si>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</si>
  <si>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</si>
  <si>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</si>
  <si>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</si>
  <si>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</si>
  <si>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</si>
  <si>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</si>
  <si>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</si>
  <si>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</si>
  <si>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</si>
  <si>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</si>
  <si>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</si>
  <si>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</si>
  <si>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</si>
  <si>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</si>
  <si>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</si>
  <si>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</si>
  <si>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</si>
  <si>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</si>
  <si>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</si>
  <si>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</si>
  <si>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</si>
  <si>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</si>
  <si>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</si>
  <si>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</si>
  <si>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</si>
  <si>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</si>
  <si>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</si>
  <si>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</si>
  <si>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</si>
  <si>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</si>
  <si>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</si>
  <si>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</si>
  <si>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</si>
  <si>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</si>
  <si>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</si>
  <si>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</si>
  <si>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</si>
  <si>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</si>
  <si>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</si>
  <si>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</si>
  <si>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</si>
  <si>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</si>
  <si>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</si>
  <si>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</si>
  <si>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</si>
  <si>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</si>
  <si>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</si>
  <si>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</si>
  <si>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</si>
  <si>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</si>
  <si>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</si>
  <si>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</si>
  <si>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</si>
  <si>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</si>
  <si>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</si>
  <si>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</si>
  <si>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</si>
  <si>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</si>
  <si>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</si>
  <si>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</si>
  <si>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</si>
  <si>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</si>
  <si>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</si>
  <si>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</si>
  <si>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</si>
  <si>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</si>
  <si>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</si>
  <si>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</si>
  <si>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</si>
  <si>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</si>
  <si>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</si>
  <si>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</si>
  <si>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</si>
  <si>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</si>
  <si>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</si>
  <si>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</si>
  <si>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</si>
  <si>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</si>
  <si>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</si>
  <si>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</si>
  <si>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</si>
  <si>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</si>
  <si>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</si>
  <si>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</si>
  <si>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</si>
  <si>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</si>
  <si>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</si>
  <si>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</si>
  <si>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</si>
  <si>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</si>
  <si>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</si>
  <si>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</si>
  <si>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</si>
  <si>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</si>
  <si>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</si>
  <si>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</si>
  <si>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</si>
  <si>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</si>
  <si>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</si>
  <si>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</si>
  <si>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</si>
  <si>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</si>
  <si>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</si>
  <si>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</si>
  <si>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</si>
  <si>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</si>
  <si>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</si>
  <si>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</si>
  <si>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</si>
  <si>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</si>
  <si>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</si>
  <si>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</si>
  <si>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</si>
  <si>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</si>
  <si>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</si>
  <si>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</si>
  <si>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</si>
  <si>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</si>
  <si>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</si>
  <si>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</si>
  <si>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</si>
  <si>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</si>
  <si>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</si>
  <si>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</si>
  <si>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</si>
  <si>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</si>
  <si>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</si>
  <si>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</si>
  <si>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</si>
  <si>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</si>
  <si>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</si>
  <si>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</si>
  <si>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</si>
  <si>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</si>
  <si>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</si>
  <si>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</si>
  <si>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</si>
  <si>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</si>
  <si>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</si>
  <si>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</si>
  <si>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</si>
  <si>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</si>
  <si>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</si>
  <si>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</si>
  <si>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</si>
  <si>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</si>
  <si>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</si>
  <si>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</si>
  <si>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</si>
  <si>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</si>
  <si>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</si>
  <si>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</si>
  <si>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</si>
  <si>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</si>
  <si>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</si>
  <si>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</si>
  <si>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</si>
  <si>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</si>
  <si>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</si>
  <si>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</si>
  <si>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</si>
  <si>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</si>
  <si>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</si>
  <si>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</si>
  <si>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</si>
  <si>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</si>
  <si>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</si>
  <si>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</si>
  <si>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</si>
  <si>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</si>
  <si>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</si>
  <si>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</si>
  <si>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</si>
  <si>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</si>
  <si>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</si>
  <si>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</si>
  <si>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</si>
  <si>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</si>
  <si>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</si>
  <si>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</si>
  <si>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</si>
  <si>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</si>
  <si>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</si>
  <si>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</si>
  <si>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</si>
  <si>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</si>
  <si>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</si>
  <si>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</si>
  <si>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</si>
  <si>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</si>
  <si>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</si>
  <si>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</si>
  <si>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</si>
  <si>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</si>
  <si>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</si>
  <si>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</si>
  <si>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</si>
  <si>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</si>
  <si>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</si>
  <si>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</si>
  <si>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</si>
  <si>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</si>
  <si>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</si>
  <si>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</si>
  <si>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</si>
  <si>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</si>
  <si>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</si>
  <si>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</si>
  <si>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</si>
  <si>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</si>
  <si>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</si>
  <si>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</si>
  <si>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</si>
  <si>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</si>
  <si>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</si>
  <si>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</si>
  <si>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</si>
  <si>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</si>
  <si>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</si>
  <si>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</si>
  <si>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</si>
  <si>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</si>
  <si>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</si>
  <si>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</si>
  <si>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</si>
  <si>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</si>
  <si>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</si>
  <si>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</si>
  <si>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</si>
  <si>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</si>
  <si>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</si>
  <si>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</si>
  <si>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</si>
  <si>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</si>
  <si>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</si>
  <si>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</si>
  <si>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</si>
  <si>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</si>
  <si>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</si>
  <si>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</si>
  <si>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</si>
  <si>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</si>
  <si>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</si>
  <si>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</si>
  <si>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</si>
  <si>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</si>
  <si>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</si>
  <si>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</si>
  <si>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</si>
  <si>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</si>
  <si>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</si>
  <si>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</si>
  <si>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</si>
  <si>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</si>
  <si>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</si>
  <si>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</si>
  <si>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</si>
  <si>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</si>
  <si>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</si>
  <si>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</si>
  <si>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</si>
  <si>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</si>
  <si>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</si>
  <si>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</si>
  <si>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</si>
  <si>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</si>
  <si>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</si>
  <si>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</si>
  <si>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</si>
  <si>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</si>
  <si>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</si>
  <si>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</si>
  <si>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</si>
  <si>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</si>
  <si>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</si>
  <si>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</si>
  <si>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</si>
  <si>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</si>
  <si>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</si>
  <si>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</si>
  <si>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</si>
  <si>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</si>
  <si>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</si>
  <si>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</si>
  <si>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</si>
  <si>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</si>
  <si>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</si>
  <si>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</si>
  <si>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</si>
  <si>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</si>
  <si>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</si>
  <si>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</si>
  <si>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</si>
  <si>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</si>
  <si>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</si>
  <si>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</si>
  <si>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</si>
  <si>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</si>
  <si>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</si>
  <si>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</si>
  <si>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</si>
  <si>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</si>
  <si>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</si>
  <si>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</si>
  <si>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</si>
  <si>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</si>
  <si>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</si>
  <si>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</si>
  <si>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</si>
  <si>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</si>
  <si>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</si>
  <si>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</si>
  <si>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</si>
  <si>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</si>
  <si>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</si>
  <si>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</si>
  <si>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</si>
  <si>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</si>
  <si>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</si>
  <si>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</si>
  <si>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</si>
  <si>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</si>
  <si>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</si>
  <si>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</si>
  <si>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</si>
  <si>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</si>
  <si>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</si>
  <si>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</si>
  <si>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</si>
  <si>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</si>
  <si>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</si>
  <si>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</si>
  <si>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</si>
  <si>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</si>
  <si>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</si>
  <si>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</si>
  <si>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</si>
  <si>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</si>
  <si>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</si>
  <si>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</si>
  <si>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</si>
  <si>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</si>
  <si>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</si>
  <si>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</si>
  <si>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</si>
  <si>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</si>
  <si>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</si>
  <si>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</si>
  <si>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</si>
  <si>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</si>
  <si>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</si>
  <si>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</si>
  <si>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</si>
  <si>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</si>
  <si>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</si>
  <si>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</si>
  <si>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</si>
  <si>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</si>
  <si>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</si>
  <si>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</si>
  <si>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</si>
  <si>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</si>
  <si>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</si>
  <si>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</si>
  <si>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</si>
  <si>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</si>
  <si>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</si>
  <si>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</si>
  <si>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</si>
  <si>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</si>
  <si>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</si>
  <si>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</si>
  <si>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</si>
  <si>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</si>
  <si>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</si>
  <si>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</si>
  <si>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</si>
  <si>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</si>
  <si>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</si>
  <si>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</si>
  <si>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</si>
  <si>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</si>
  <si>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</si>
  <si>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</si>
  <si>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</si>
  <si>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</si>
  <si>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</si>
  <si>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</si>
  <si>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</si>
  <si>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</si>
  <si>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</si>
  <si>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</si>
  <si>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</si>
  <si>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</si>
  <si>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</si>
  <si>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</si>
  <si>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</si>
  <si>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</si>
  <si>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</si>
  <si>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</si>
  <si>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</si>
  <si>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</si>
  <si>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</si>
  <si>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</si>
  <si>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</si>
  <si>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</si>
  <si>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</si>
  <si>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</si>
  <si>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</si>
  <si>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</si>
  <si>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</si>
  <si>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</si>
  <si>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</si>
  <si>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</si>
  <si>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</si>
  <si>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</si>
  <si>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</si>
  <si>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</si>
  <si>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</si>
  <si>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</si>
  <si>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</si>
  <si>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</si>
  <si>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</si>
  <si>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</si>
  <si>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</si>
  <si>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</si>
  <si>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</si>
  <si>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</si>
  <si>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</si>
  <si>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</si>
  <si>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</si>
  <si>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</si>
  <si>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</si>
  <si>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</si>
  <si>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</si>
  <si>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</si>
  <si>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</si>
  <si>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</si>
  <si>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</si>
  <si>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</si>
  <si>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</si>
  <si>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</si>
  <si>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</si>
  <si>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</si>
  <si>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</si>
  <si>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</si>
  <si>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</si>
  <si>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</si>
  <si>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</si>
  <si>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</si>
  <si>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</si>
  <si>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</si>
  <si>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</si>
  <si>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</si>
  <si>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</si>
  <si>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</si>
  <si>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</si>
  <si>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</si>
  <si>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</si>
  <si>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</si>
  <si>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</si>
  <si>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</si>
  <si>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</si>
  <si>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</si>
  <si>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</si>
  <si>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</si>
  <si>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</si>
  <si>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</si>
  <si>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</si>
  <si>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</si>
  <si>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</si>
  <si>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</si>
  <si>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</si>
  <si>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</si>
  <si>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</si>
  <si>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</si>
  <si>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</si>
  <si>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</si>
  <si>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</si>
  <si>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</si>
  <si>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</si>
  <si>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</si>
  <si>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</si>
  <si>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</si>
  <si>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</si>
  <si>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</si>
  <si>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</si>
  <si>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</si>
  <si>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</si>
  <si>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</si>
  <si>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(All)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</si>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</sst>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43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Profit</a:t>
            </a:r>
            <a:r>
              <a:rPr lang="en-US" b="1" u="sng" baseline="0"/>
              <a:t> By Payment Methods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3-4D44-A606-405A52A9D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95887"/>
        <c:axId val="214293487"/>
      </c:barChart>
      <c:catAx>
        <c:axId val="21429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3487"/>
        <c:crosses val="autoZero"/>
        <c:auto val="1"/>
        <c:lblAlgn val="ctr"/>
        <c:lblOffset val="100"/>
        <c:noMultiLvlLbl val="0"/>
      </c:catAx>
      <c:valAx>
        <c:axId val="2142934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42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Revenue By</a:t>
            </a:r>
            <a:r>
              <a:rPr lang="en-US" b="1" u="sng" baseline="0"/>
              <a:t> Product Line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09-4CD7-8DC3-4BAFD63A6A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09-4CD7-8DC3-4BAFD63A6A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9-4CD7-8DC3-4BAFD63A6A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7236991"/>
        <c:axId val="457237951"/>
      </c:barChart>
      <c:catAx>
        <c:axId val="45723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7951"/>
        <c:crosses val="autoZero"/>
        <c:auto val="1"/>
        <c:lblAlgn val="ctr"/>
        <c:lblOffset val="100"/>
        <c:noMultiLvlLbl val="0"/>
      </c:catAx>
      <c:valAx>
        <c:axId val="45723795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5723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Total Revenue/Expense/Profit</a:t>
            </a:r>
            <a:r>
              <a:rPr lang="en-US" b="1" u="sng" baseline="0">
                <a:solidFill>
                  <a:schemeClr val="tx1"/>
                </a:solidFill>
              </a:rPr>
              <a:t> By Category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9-4EBB-8F2E-7A79235CDDFF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9-4EBB-8F2E-7A79235CDDFF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9-4EBB-8F2E-7A79235CDDF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33151"/>
        <c:axId val="457249951"/>
      </c:lineChart>
      <c:catAx>
        <c:axId val="4572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9951"/>
        <c:crosses val="autoZero"/>
        <c:auto val="1"/>
        <c:lblAlgn val="ctr"/>
        <c:lblOffset val="100"/>
        <c:noMultiLvlLbl val="0"/>
      </c:catAx>
      <c:valAx>
        <c:axId val="457249951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Count Of Transactions By</a:t>
            </a:r>
            <a:r>
              <a:rPr lang="en-US" b="1" u="sng" baseline="0">
                <a:solidFill>
                  <a:schemeClr val="tx1"/>
                </a:solidFill>
              </a:rPr>
              <a:t> Region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11111111111111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C4-4006-BF85-B08984D8693D}"/>
                </c:ext>
              </c:extLst>
            </c:dLbl>
            <c:dLbl>
              <c:idx val="1"/>
              <c:layout>
                <c:manualLayout>
                  <c:x val="0.05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C4-4006-BF85-B08984D8693D}"/>
                </c:ext>
              </c:extLst>
            </c:dLbl>
            <c:dLbl>
              <c:idx val="2"/>
              <c:layout>
                <c:manualLayout>
                  <c:x val="3.6111111111111059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C4-4006-BF85-B08984D8693D}"/>
                </c:ext>
              </c:extLst>
            </c:dLbl>
            <c:dLbl>
              <c:idx val="3"/>
              <c:layout>
                <c:manualLayout>
                  <c:x val="6.3888888888888884E-2"/>
                  <c:y val="-0.2870370370370370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C4-4006-BF85-B08984D8693D}"/>
                </c:ext>
              </c:extLst>
            </c:dLbl>
            <c:dLbl>
              <c:idx val="4"/>
              <c:layout>
                <c:manualLayout>
                  <c:x val="1.6666666666666666E-2"/>
                  <c:y val="-0.226851851851851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C4-4006-BF85-B08984D8693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4-4006-BF85-B08984D869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7248991"/>
        <c:axId val="457253311"/>
      </c:areaChart>
      <c:catAx>
        <c:axId val="45724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53311"/>
        <c:crosses val="autoZero"/>
        <c:auto val="1"/>
        <c:lblAlgn val="ctr"/>
        <c:lblOffset val="100"/>
        <c:noMultiLvlLbl val="0"/>
      </c:catAx>
      <c:valAx>
        <c:axId val="457253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24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bg1"/>
                </a:solidFill>
              </a:rPr>
              <a:t>Average Expense For</a:t>
            </a:r>
            <a:r>
              <a:rPr lang="en-US" b="1" u="sng" baseline="0">
                <a:solidFill>
                  <a:schemeClr val="bg1"/>
                </a:solidFill>
              </a:rPr>
              <a:t> Each Category</a:t>
            </a:r>
            <a:endParaRPr lang="en-US" b="1" u="sng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015-4B38-85DB-793950E4D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015-4B38-85DB-793950E4D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15-4B38-85DB-793950E4D5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15-4B38-85DB-793950E4D588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15-4B38-85DB-793950E4D588}"/>
                </c:ext>
              </c:extLst>
            </c:dLbl>
            <c:dLbl>
              <c:idx val="1"/>
              <c:layout>
                <c:manualLayout>
                  <c:x val="4.1666666666666567E-2"/>
                  <c:y val="2.31481481481480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15-4B38-85DB-793950E4D588}"/>
                </c:ext>
              </c:extLst>
            </c:dLbl>
            <c:dLbl>
              <c:idx val="4"/>
              <c:layout>
                <c:manualLayout>
                  <c:x val="-4.8138670166229221E-3"/>
                  <c:y val="-0.10648148148148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15-4B38-85DB-793950E4D588}"/>
                </c:ext>
              </c:extLst>
            </c:dLbl>
            <c:dLbl>
              <c:idx val="5"/>
              <c:layout>
                <c:manualLayout>
                  <c:x val="-0.17777777777777778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15-4B38-85DB-793950E4D58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5-4B38-85DB-793950E4D5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Profit</a:t>
            </a:r>
            <a:r>
              <a:rPr lang="en-US" b="1" u="sng" baseline="0"/>
              <a:t> By Payment Methods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3-4F42-BA3B-F8AFD642C0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95887"/>
        <c:axId val="214293487"/>
      </c:barChart>
      <c:catAx>
        <c:axId val="21429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3487"/>
        <c:crosses val="autoZero"/>
        <c:auto val="1"/>
        <c:lblAlgn val="ctr"/>
        <c:lblOffset val="100"/>
        <c:noMultiLvlLbl val="0"/>
      </c:catAx>
      <c:valAx>
        <c:axId val="2142934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42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Revenue By</a:t>
            </a:r>
            <a:r>
              <a:rPr lang="en-US" b="1" u="sng" baseline="0"/>
              <a:t> Product Line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00-4F6B-9F9B-4FD00282CE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00-4F6B-9F9B-4FD00282CE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00-4F6B-9F9B-4FD00282CE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7236991"/>
        <c:axId val="457237951"/>
      </c:barChart>
      <c:catAx>
        <c:axId val="45723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7951"/>
        <c:crosses val="autoZero"/>
        <c:auto val="1"/>
        <c:lblAlgn val="ctr"/>
        <c:lblOffset val="100"/>
        <c:noMultiLvlLbl val="0"/>
      </c:catAx>
      <c:valAx>
        <c:axId val="45723795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5723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Total Revenue/Expense/Profit</a:t>
            </a:r>
            <a:r>
              <a:rPr lang="en-US" b="1" u="sng" baseline="0">
                <a:solidFill>
                  <a:schemeClr val="tx1"/>
                </a:solidFill>
              </a:rPr>
              <a:t> By Category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F-4387-80A9-E58153E8D8E9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F-4387-80A9-E58153E8D8E9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8F-4387-80A9-E58153E8D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33151"/>
        <c:axId val="457249951"/>
      </c:lineChart>
      <c:catAx>
        <c:axId val="4572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9951"/>
        <c:crosses val="autoZero"/>
        <c:auto val="1"/>
        <c:lblAlgn val="ctr"/>
        <c:lblOffset val="100"/>
        <c:noMultiLvlLbl val="0"/>
      </c:catAx>
      <c:valAx>
        <c:axId val="457249951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Count Of Transactions By</a:t>
            </a:r>
            <a:r>
              <a:rPr lang="en-US" b="1" u="sng" baseline="0">
                <a:solidFill>
                  <a:schemeClr val="tx1"/>
                </a:solidFill>
              </a:rPr>
              <a:t> Region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11111111111111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1D-4111-8091-78441A578B3C}"/>
                </c:ext>
              </c:extLst>
            </c:dLbl>
            <c:dLbl>
              <c:idx val="1"/>
              <c:layout>
                <c:manualLayout>
                  <c:x val="0.05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1D-4111-8091-78441A578B3C}"/>
                </c:ext>
              </c:extLst>
            </c:dLbl>
            <c:dLbl>
              <c:idx val="2"/>
              <c:layout>
                <c:manualLayout>
                  <c:x val="3.6111111111111059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1D-4111-8091-78441A578B3C}"/>
                </c:ext>
              </c:extLst>
            </c:dLbl>
            <c:dLbl>
              <c:idx val="3"/>
              <c:layout>
                <c:manualLayout>
                  <c:x val="6.3888888888888884E-2"/>
                  <c:y val="-0.2870370370370370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1D-4111-8091-78441A578B3C}"/>
                </c:ext>
              </c:extLst>
            </c:dLbl>
            <c:dLbl>
              <c:idx val="4"/>
              <c:layout>
                <c:manualLayout>
                  <c:x val="1.6666666666666666E-2"/>
                  <c:y val="-0.226851851851851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1D-4111-8091-78441A578B3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1D-4111-8091-78441A578B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7248991"/>
        <c:axId val="457253311"/>
      </c:areaChart>
      <c:catAx>
        <c:axId val="45724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53311"/>
        <c:crosses val="autoZero"/>
        <c:auto val="1"/>
        <c:lblAlgn val="ctr"/>
        <c:lblOffset val="100"/>
        <c:noMultiLvlLbl val="0"/>
      </c:catAx>
      <c:valAx>
        <c:axId val="457253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24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3.xlsx]Pivot 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Average Expense For</a:t>
            </a:r>
            <a:r>
              <a:rPr lang="en-US" b="1" u="sng" baseline="0">
                <a:solidFill>
                  <a:schemeClr val="tx1"/>
                </a:solidFill>
              </a:rPr>
              <a:t> Each Category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6A-4B4D-BE37-6BE1BF0703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6A-4B4D-BE37-6BE1BF0703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6A-4B4D-BE37-6BE1BF0703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6A-4B4D-BE37-6BE1BF0703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6A-4B4D-BE37-6BE1BF0703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26A-4B4D-BE37-6BE1BF070301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A-4B4D-BE37-6BE1BF070301}"/>
                </c:ext>
              </c:extLst>
            </c:dLbl>
            <c:dLbl>
              <c:idx val="1"/>
              <c:layout>
                <c:manualLayout>
                  <c:x val="4.1666666666666567E-2"/>
                  <c:y val="2.31481481481480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6A-4B4D-BE37-6BE1BF070301}"/>
                </c:ext>
              </c:extLst>
            </c:dLbl>
            <c:dLbl>
              <c:idx val="4"/>
              <c:layout>
                <c:manualLayout>
                  <c:x val="-4.8138670166229221E-3"/>
                  <c:y val="-0.10648148148148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6A-4B4D-BE37-6BE1BF070301}"/>
                </c:ext>
              </c:extLst>
            </c:dLbl>
            <c:dLbl>
              <c:idx val="5"/>
              <c:layout>
                <c:manualLayout>
                  <c:x val="-0.17777777777777778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6A-4B4D-BE37-6BE1BF07030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6A-4B4D-BE37-6BE1BF0703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19050</xdr:rowOff>
    </xdr:from>
    <xdr:to>
      <xdr:col>10</xdr:col>
      <xdr:colOff>314325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7A24D-598A-A992-4E57-2E48D3632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10</xdr:col>
      <xdr:colOff>304800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96629-F85C-2B3B-D910-9CE2575B1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0</xdr:rowOff>
    </xdr:from>
    <xdr:to>
      <xdr:col>11</xdr:col>
      <xdr:colOff>381000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DA34A4-675C-2429-22FA-B4F76BF13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28575</xdr:rowOff>
    </xdr:from>
    <xdr:to>
      <xdr:col>10</xdr:col>
      <xdr:colOff>333375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3990D-11C0-93A4-CC86-D93328C38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38100</xdr:rowOff>
    </xdr:from>
    <xdr:to>
      <xdr:col>10</xdr:col>
      <xdr:colOff>76200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58B5A-A772-BFBA-7793-339B0A270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76200</xdr:rowOff>
    </xdr:from>
    <xdr:to>
      <xdr:col>7</xdr:col>
      <xdr:colOff>400050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4B448-D967-4118-906C-6C0614592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4</xdr:row>
      <xdr:rowOff>85725</xdr:rowOff>
    </xdr:from>
    <xdr:to>
      <xdr:col>15</xdr:col>
      <xdr:colOff>171450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CB922-4B88-4550-8DEE-1A46B8BAA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257175</xdr:colOff>
      <xdr:row>4</xdr:row>
      <xdr:rowOff>85725</xdr:rowOff>
    </xdr:from>
    <xdr:to>
      <xdr:col>22</xdr:col>
      <xdr:colOff>561975</xdr:colOff>
      <xdr:row>18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64138-FB69-490F-B9C5-5B6443C28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571500</xdr:colOff>
      <xdr:row>19</xdr:row>
      <xdr:rowOff>84534</xdr:rowOff>
    </xdr:from>
    <xdr:to>
      <xdr:col>11</xdr:col>
      <xdr:colOff>266700</xdr:colOff>
      <xdr:row>33</xdr:row>
      <xdr:rowOff>163710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64A0C-146A-446B-8743-D0D9CA971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392311</xdr:colOff>
      <xdr:row>19</xdr:row>
      <xdr:rowOff>69651</xdr:rowOff>
    </xdr:from>
    <xdr:to>
      <xdr:col>19</xdr:col>
      <xdr:colOff>87511</xdr:colOff>
      <xdr:row>33</xdr:row>
      <xdr:rowOff>148827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36632F-6E7B-4DA9-ACC2-B4F59E80F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52339-600E-4F2D-B36D-569A9AA4F3E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3:C44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1" numFmtId="164"/>
  </dataFields>
  <formats count="2">
    <format dxfId="6">
      <pivotArea collapsedLevelsAreSubtotals="1" fieldPosition="0">
        <references count="1">
          <reference field="6" count="1">
            <x v="0"/>
          </reference>
        </references>
      </pivotArea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5EFA3-4982-49EC-9143-20651C4775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F8:L15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1" numFmtId="164"/>
  </dataFields>
  <formats count="2">
    <format dxfId="8">
      <pivotArea collapsedLevelsAreSubtotals="1" fieldPosition="0">
        <references count="1">
          <reference field="6" count="1">
            <x v="0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0BF47-A4C3-454C-A6BB-89F7B7FEBD2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63E4-DD14-4133-A744-00C30A895AF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65517-C409-4618-B3C3-D294744DC5B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E9499-9097-4F34-BD52-F757E4E1C77A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DD954-D50C-4A4B-81C2-CABC62437D8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43"/>
  </dataFields>
  <formats count="1">
    <format dxfId="0">
      <pivotArea outline="0" collapsedLevelsAreSubtotals="1" fieldPosition="0"/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0776-9082-48C9-B9FA-ECB307642502}">
  <dimension ref="A5:L44"/>
  <sheetViews>
    <sheetView topLeftCell="C1" workbookViewId="0">
      <selection activeCell="C1" sqref="C1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5" width="10.5703125" bestFit="1" customWidth="1"/>
    <col min="6" max="6" width="18.7109375" bestFit="1" customWidth="1"/>
    <col min="7" max="7" width="17.85546875" bestFit="1" customWidth="1"/>
    <col min="8" max="11" width="10.5703125" bestFit="1" customWidth="1"/>
    <col min="12" max="12" width="11.5703125" bestFit="1" customWidth="1"/>
  </cols>
  <sheetData>
    <row r="5" spans="1:12" x14ac:dyDescent="0.25">
      <c r="F5" s="3" t="s">
        <v>9</v>
      </c>
      <c r="G5" t="s">
        <v>2045</v>
      </c>
    </row>
    <row r="6" spans="1:12" x14ac:dyDescent="0.25">
      <c r="F6" s="3" t="s">
        <v>7</v>
      </c>
      <c r="G6" t="s">
        <v>2046</v>
      </c>
    </row>
    <row r="8" spans="1:12" x14ac:dyDescent="0.25">
      <c r="F8" s="3" t="s">
        <v>2038</v>
      </c>
      <c r="G8" s="3" t="s">
        <v>2039</v>
      </c>
    </row>
    <row r="9" spans="1:12" x14ac:dyDescent="0.25">
      <c r="F9" s="3" t="s">
        <v>6</v>
      </c>
      <c r="G9" t="s">
        <v>41</v>
      </c>
      <c r="H9" t="s">
        <v>27</v>
      </c>
      <c r="I9" t="s">
        <v>22</v>
      </c>
      <c r="J9" t="s">
        <v>31</v>
      </c>
      <c r="K9" t="s">
        <v>16</v>
      </c>
      <c r="L9" t="s">
        <v>2037</v>
      </c>
    </row>
    <row r="10" spans="1:12" x14ac:dyDescent="0.25">
      <c r="F10" s="4" t="s">
        <v>30</v>
      </c>
      <c r="G10" s="5">
        <v>281888</v>
      </c>
      <c r="H10" s="5">
        <v>245206</v>
      </c>
      <c r="I10" s="5">
        <v>118371</v>
      </c>
      <c r="J10" s="5">
        <v>705589</v>
      </c>
      <c r="K10" s="5">
        <v>299722</v>
      </c>
      <c r="L10" s="5">
        <v>1650776</v>
      </c>
    </row>
    <row r="11" spans="1:12" x14ac:dyDescent="0.25">
      <c r="A11" s="3" t="s">
        <v>10</v>
      </c>
      <c r="B11" t="s">
        <v>2045</v>
      </c>
      <c r="F11" s="4" t="s">
        <v>40</v>
      </c>
      <c r="G11" s="5">
        <v>361951</v>
      </c>
      <c r="H11" s="5">
        <v>338036</v>
      </c>
      <c r="I11" s="5">
        <v>158725</v>
      </c>
      <c r="J11" s="5">
        <v>676698</v>
      </c>
      <c r="K11" s="5">
        <v>339730</v>
      </c>
      <c r="L11" s="5">
        <v>1875140</v>
      </c>
    </row>
    <row r="12" spans="1:12" x14ac:dyDescent="0.25">
      <c r="F12" s="4" t="s">
        <v>14</v>
      </c>
      <c r="G12" s="5">
        <v>384456</v>
      </c>
      <c r="H12" s="5">
        <v>341646</v>
      </c>
      <c r="I12" s="5">
        <v>192977</v>
      </c>
      <c r="J12" s="5">
        <v>1259246</v>
      </c>
      <c r="K12" s="5">
        <v>523188</v>
      </c>
      <c r="L12" s="5">
        <v>2701513</v>
      </c>
    </row>
    <row r="13" spans="1:12" x14ac:dyDescent="0.25">
      <c r="A13" s="3" t="s">
        <v>6</v>
      </c>
      <c r="B13" s="3" t="s">
        <v>8</v>
      </c>
      <c r="C13" t="s">
        <v>2038</v>
      </c>
      <c r="F13" s="4" t="s">
        <v>26</v>
      </c>
      <c r="G13" s="5">
        <v>268550</v>
      </c>
      <c r="H13" s="5">
        <v>669173</v>
      </c>
      <c r="I13" s="5">
        <v>173505</v>
      </c>
      <c r="J13" s="5">
        <v>1421065</v>
      </c>
      <c r="K13" s="5">
        <v>610890</v>
      </c>
      <c r="L13" s="5">
        <v>3143183</v>
      </c>
    </row>
    <row r="14" spans="1:12" x14ac:dyDescent="0.25">
      <c r="A14" t="s">
        <v>40</v>
      </c>
      <c r="B14" t="s">
        <v>41</v>
      </c>
      <c r="C14" s="5">
        <v>139099</v>
      </c>
      <c r="F14" s="4" t="s">
        <v>36</v>
      </c>
      <c r="G14" s="5">
        <v>893741</v>
      </c>
      <c r="H14" s="5">
        <v>1533037</v>
      </c>
      <c r="I14" s="5">
        <v>798450</v>
      </c>
      <c r="J14" s="5">
        <v>2738964</v>
      </c>
      <c r="K14" s="5">
        <v>772452</v>
      </c>
      <c r="L14" s="5">
        <v>6736644</v>
      </c>
    </row>
    <row r="15" spans="1:12" x14ac:dyDescent="0.25">
      <c r="B15" t="s">
        <v>27</v>
      </c>
      <c r="C15" s="5">
        <v>378352</v>
      </c>
      <c r="F15" s="4" t="s">
        <v>2037</v>
      </c>
      <c r="G15" s="5">
        <v>2190586</v>
      </c>
      <c r="H15" s="5">
        <v>3127098</v>
      </c>
      <c r="I15" s="5">
        <v>1442028</v>
      </c>
      <c r="J15" s="5">
        <v>6801562</v>
      </c>
      <c r="K15" s="5">
        <v>2545982</v>
      </c>
      <c r="L15" s="5">
        <v>16107256</v>
      </c>
    </row>
    <row r="16" spans="1:12" x14ac:dyDescent="0.25">
      <c r="B16" t="s">
        <v>22</v>
      </c>
      <c r="C16" s="5">
        <v>132938</v>
      </c>
    </row>
    <row r="17" spans="1:3" x14ac:dyDescent="0.25">
      <c r="B17" t="s">
        <v>31</v>
      </c>
      <c r="C17" s="5">
        <v>465128</v>
      </c>
    </row>
    <row r="18" spans="1:3" x14ac:dyDescent="0.25">
      <c r="B18" t="s">
        <v>16</v>
      </c>
      <c r="C18" s="5">
        <v>144667</v>
      </c>
    </row>
    <row r="19" spans="1:3" x14ac:dyDescent="0.25">
      <c r="A19" t="s">
        <v>2041</v>
      </c>
      <c r="C19" s="5">
        <v>1260184</v>
      </c>
    </row>
    <row r="20" spans="1:3" x14ac:dyDescent="0.25">
      <c r="A20" t="s">
        <v>30</v>
      </c>
      <c r="B20" t="s">
        <v>41</v>
      </c>
      <c r="C20" s="5">
        <v>268316</v>
      </c>
    </row>
    <row r="21" spans="1:3" x14ac:dyDescent="0.25">
      <c r="B21" t="s">
        <v>27</v>
      </c>
      <c r="C21" s="5">
        <v>187730</v>
      </c>
    </row>
    <row r="22" spans="1:3" x14ac:dyDescent="0.25">
      <c r="B22" t="s">
        <v>22</v>
      </c>
      <c r="C22" s="5">
        <v>191265</v>
      </c>
    </row>
    <row r="23" spans="1:3" x14ac:dyDescent="0.25">
      <c r="B23" t="s">
        <v>31</v>
      </c>
      <c r="C23" s="5">
        <v>549053</v>
      </c>
    </row>
    <row r="24" spans="1:3" x14ac:dyDescent="0.25">
      <c r="B24" t="s">
        <v>16</v>
      </c>
      <c r="C24" s="5">
        <v>186486</v>
      </c>
    </row>
    <row r="25" spans="1:3" x14ac:dyDescent="0.25">
      <c r="A25" t="s">
        <v>2040</v>
      </c>
      <c r="C25" s="5">
        <v>1382850</v>
      </c>
    </row>
    <row r="26" spans="1:3" x14ac:dyDescent="0.25">
      <c r="A26" t="s">
        <v>14</v>
      </c>
      <c r="B26" t="s">
        <v>41</v>
      </c>
      <c r="C26" s="5">
        <v>436037</v>
      </c>
    </row>
    <row r="27" spans="1:3" x14ac:dyDescent="0.25">
      <c r="B27" t="s">
        <v>27</v>
      </c>
      <c r="C27" s="5">
        <v>278836</v>
      </c>
    </row>
    <row r="28" spans="1:3" x14ac:dyDescent="0.25">
      <c r="B28" t="s">
        <v>22</v>
      </c>
      <c r="C28" s="5">
        <v>193813</v>
      </c>
    </row>
    <row r="29" spans="1:3" x14ac:dyDescent="0.25">
      <c r="B29" t="s">
        <v>31</v>
      </c>
      <c r="C29" s="5">
        <v>1009798</v>
      </c>
    </row>
    <row r="30" spans="1:3" x14ac:dyDescent="0.25">
      <c r="B30" t="s">
        <v>16</v>
      </c>
      <c r="C30" s="5">
        <v>357008</v>
      </c>
    </row>
    <row r="31" spans="1:3" x14ac:dyDescent="0.25">
      <c r="A31" t="s">
        <v>2042</v>
      </c>
      <c r="C31" s="5">
        <v>2275492</v>
      </c>
    </row>
    <row r="32" spans="1:3" x14ac:dyDescent="0.25">
      <c r="A32" t="s">
        <v>26</v>
      </c>
      <c r="B32" t="s">
        <v>41</v>
      </c>
      <c r="C32" s="5">
        <v>276126</v>
      </c>
    </row>
    <row r="33" spans="1:3" x14ac:dyDescent="0.25">
      <c r="B33" t="s">
        <v>27</v>
      </c>
      <c r="C33" s="5">
        <v>377912</v>
      </c>
    </row>
    <row r="34" spans="1:3" x14ac:dyDescent="0.25">
      <c r="B34" t="s">
        <v>22</v>
      </c>
      <c r="C34" s="5">
        <v>164690</v>
      </c>
    </row>
    <row r="35" spans="1:3" x14ac:dyDescent="0.25">
      <c r="B35" t="s">
        <v>31</v>
      </c>
      <c r="C35" s="5">
        <v>1012699</v>
      </c>
    </row>
    <row r="36" spans="1:3" x14ac:dyDescent="0.25">
      <c r="B36" t="s">
        <v>16</v>
      </c>
      <c r="C36" s="5">
        <v>540954</v>
      </c>
    </row>
    <row r="37" spans="1:3" x14ac:dyDescent="0.25">
      <c r="A37" t="s">
        <v>2043</v>
      </c>
      <c r="C37" s="5">
        <v>2372381</v>
      </c>
    </row>
    <row r="38" spans="1:3" x14ac:dyDescent="0.25">
      <c r="A38" t="s">
        <v>36</v>
      </c>
      <c r="B38" t="s">
        <v>41</v>
      </c>
      <c r="C38" s="5">
        <v>698345</v>
      </c>
    </row>
    <row r="39" spans="1:3" x14ac:dyDescent="0.25">
      <c r="B39" t="s">
        <v>27</v>
      </c>
      <c r="C39" s="5">
        <v>1162918</v>
      </c>
    </row>
    <row r="40" spans="1:3" x14ac:dyDescent="0.25">
      <c r="B40" t="s">
        <v>22</v>
      </c>
      <c r="C40" s="5">
        <v>620620</v>
      </c>
    </row>
    <row r="41" spans="1:3" x14ac:dyDescent="0.25">
      <c r="B41" t="s">
        <v>31</v>
      </c>
      <c r="C41" s="5">
        <v>2243948</v>
      </c>
    </row>
    <row r="42" spans="1:3" x14ac:dyDescent="0.25">
      <c r="B42" t="s">
        <v>16</v>
      </c>
      <c r="C42" s="5">
        <v>626361</v>
      </c>
    </row>
    <row r="43" spans="1:3" x14ac:dyDescent="0.25">
      <c r="A43" t="s">
        <v>2044</v>
      </c>
      <c r="C43" s="5">
        <v>5352192</v>
      </c>
    </row>
    <row r="44" spans="1:3" x14ac:dyDescent="0.25">
      <c r="A44" t="s">
        <v>2037</v>
      </c>
      <c r="C44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5A7A-AB6C-4403-9100-82A327A0E91F}">
  <dimension ref="A3:B8"/>
  <sheetViews>
    <sheetView workbookViewId="0">
      <selection activeCell="N15" sqref="N15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2047</v>
      </c>
      <c r="B3" t="s">
        <v>2048</v>
      </c>
    </row>
    <row r="4" spans="1:2" x14ac:dyDescent="0.25">
      <c r="A4" s="4" t="s">
        <v>24</v>
      </c>
      <c r="B4" s="6">
        <v>3629433</v>
      </c>
    </row>
    <row r="5" spans="1:2" x14ac:dyDescent="0.25">
      <c r="A5" s="4" t="s">
        <v>18</v>
      </c>
      <c r="B5" s="6">
        <v>9013666</v>
      </c>
    </row>
    <row r="6" spans="1:2" x14ac:dyDescent="0.25">
      <c r="A6" s="4" t="s">
        <v>33</v>
      </c>
      <c r="B6" s="6">
        <v>5030165</v>
      </c>
    </row>
    <row r="7" spans="1:2" x14ac:dyDescent="0.25">
      <c r="A7" s="4" t="s">
        <v>51</v>
      </c>
      <c r="B7" s="6">
        <v>2820265</v>
      </c>
    </row>
    <row r="8" spans="1:2" x14ac:dyDescent="0.25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2830-FA6A-490F-94F5-61F6DA16E1DB}">
  <dimension ref="A3:B9"/>
  <sheetViews>
    <sheetView workbookViewId="0">
      <selection activeCell="M10" sqref="M10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2047</v>
      </c>
      <c r="B3" t="s">
        <v>2049</v>
      </c>
    </row>
    <row r="4" spans="1:2" x14ac:dyDescent="0.25">
      <c r="A4" s="4" t="s">
        <v>41</v>
      </c>
      <c r="B4" s="5">
        <v>8585057</v>
      </c>
    </row>
    <row r="5" spans="1:2" x14ac:dyDescent="0.25">
      <c r="A5" s="4" t="s">
        <v>27</v>
      </c>
      <c r="B5" s="5">
        <v>10199670</v>
      </c>
    </row>
    <row r="6" spans="1:2" x14ac:dyDescent="0.25">
      <c r="A6" s="4" t="s">
        <v>22</v>
      </c>
      <c r="B6" s="5">
        <v>5496803</v>
      </c>
    </row>
    <row r="7" spans="1:2" x14ac:dyDescent="0.25">
      <c r="A7" s="4" t="s">
        <v>31</v>
      </c>
      <c r="B7" s="5">
        <v>21863582</v>
      </c>
    </row>
    <row r="8" spans="1:2" x14ac:dyDescent="0.25">
      <c r="A8" s="4" t="s">
        <v>16</v>
      </c>
      <c r="B8" s="5">
        <v>7820463</v>
      </c>
    </row>
    <row r="9" spans="1:2" x14ac:dyDescent="0.25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2526-DE75-4A65-ADCE-30DB5E9F9735}">
  <dimension ref="A3:D9"/>
  <sheetViews>
    <sheetView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6.140625" bestFit="1" customWidth="1"/>
    <col min="4" max="4" width="14.28515625" bestFit="1" customWidth="1"/>
  </cols>
  <sheetData>
    <row r="3" spans="1:4" x14ac:dyDescent="0.25">
      <c r="A3" s="3" t="s">
        <v>2047</v>
      </c>
      <c r="B3" t="s">
        <v>2049</v>
      </c>
      <c r="C3" t="s">
        <v>2050</v>
      </c>
      <c r="D3" t="s">
        <v>2048</v>
      </c>
    </row>
    <row r="4" spans="1:4" x14ac:dyDescent="0.2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2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2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2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2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25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83C0-6160-4982-9A36-ED0571C617A0}">
  <dimension ref="A3:B9"/>
  <sheetViews>
    <sheetView workbookViewId="0">
      <selection activeCell="E20" sqref="E20"/>
    </sheetView>
  </sheetViews>
  <sheetFormatPr defaultRowHeight="15" x14ac:dyDescent="0.25"/>
  <cols>
    <col min="1" max="1" width="14" bestFit="1" customWidth="1"/>
    <col min="2" max="2" width="22.42578125" bestFit="1" customWidth="1"/>
  </cols>
  <sheetData>
    <row r="3" spans="1:2" x14ac:dyDescent="0.25">
      <c r="A3" s="3" t="s">
        <v>2047</v>
      </c>
      <c r="B3" t="s">
        <v>2051</v>
      </c>
    </row>
    <row r="4" spans="1:2" x14ac:dyDescent="0.25">
      <c r="A4" s="4" t="s">
        <v>36</v>
      </c>
      <c r="B4" s="6">
        <v>818</v>
      </c>
    </row>
    <row r="5" spans="1:2" x14ac:dyDescent="0.25">
      <c r="A5" s="4" t="s">
        <v>40</v>
      </c>
      <c r="B5" s="6">
        <v>258</v>
      </c>
    </row>
    <row r="6" spans="1:2" x14ac:dyDescent="0.25">
      <c r="A6" s="4" t="s">
        <v>14</v>
      </c>
      <c r="B6" s="6">
        <v>314</v>
      </c>
    </row>
    <row r="7" spans="1:2" x14ac:dyDescent="0.25">
      <c r="A7" s="4" t="s">
        <v>26</v>
      </c>
      <c r="B7" s="6">
        <v>411</v>
      </c>
    </row>
    <row r="8" spans="1:2" x14ac:dyDescent="0.25">
      <c r="A8" s="4" t="s">
        <v>30</v>
      </c>
      <c r="B8" s="6">
        <v>199</v>
      </c>
    </row>
    <row r="9" spans="1:2" x14ac:dyDescent="0.25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DDF2-C75E-47BF-9DC1-8326B6A976DF}">
  <dimension ref="A3:B10"/>
  <sheetViews>
    <sheetView workbookViewId="0">
      <selection activeCell="M16" sqref="M16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3" t="s">
        <v>2047</v>
      </c>
      <c r="B3" t="s">
        <v>2052</v>
      </c>
    </row>
    <row r="4" spans="1:2" x14ac:dyDescent="0.25">
      <c r="A4" s="4" t="s">
        <v>45</v>
      </c>
      <c r="B4" s="7">
        <v>15749.475903614459</v>
      </c>
    </row>
    <row r="5" spans="1:2" x14ac:dyDescent="0.25">
      <c r="A5" s="4" t="s">
        <v>15</v>
      </c>
      <c r="B5" s="7">
        <v>17351.541666666668</v>
      </c>
    </row>
    <row r="6" spans="1:2" x14ac:dyDescent="0.25">
      <c r="A6" s="4" t="s">
        <v>21</v>
      </c>
      <c r="B6" s="7">
        <v>16810.526576019776</v>
      </c>
    </row>
    <row r="7" spans="1:2" x14ac:dyDescent="0.25">
      <c r="A7" s="4" t="s">
        <v>35</v>
      </c>
      <c r="B7" s="7">
        <v>16478.297945205479</v>
      </c>
    </row>
    <row r="8" spans="1:2" x14ac:dyDescent="0.25">
      <c r="A8" s="4" t="s">
        <v>20</v>
      </c>
      <c r="B8" s="7">
        <v>17174.339449541283</v>
      </c>
    </row>
    <row r="9" spans="1:2" x14ac:dyDescent="0.25">
      <c r="A9" s="4" t="s">
        <v>29</v>
      </c>
      <c r="B9" s="7">
        <v>16627.71517027864</v>
      </c>
    </row>
    <row r="10" spans="1:2" x14ac:dyDescent="0.25">
      <c r="A10" s="4" t="s">
        <v>2037</v>
      </c>
      <c r="B10" s="7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7910-6F9A-4BDE-8564-380F9351D05B}">
  <dimension ref="A1:W4"/>
  <sheetViews>
    <sheetView showGridLines="0" tabSelected="1" zoomScale="64" workbookViewId="0">
      <selection activeCell="Y22" sqref="Y22"/>
    </sheetView>
  </sheetViews>
  <sheetFormatPr defaultRowHeight="15" x14ac:dyDescent="0.25"/>
  <sheetData>
    <row r="1" spans="1:23" ht="15" customHeight="1" x14ac:dyDescent="0.25">
      <c r="A1" s="8" t="s">
        <v>2053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</sheetData>
  <mergeCells count="1">
    <mergeCell ref="A1:W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H12" sqref="H12"/>
    </sheetView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A28" sqref="A28"/>
    </sheetView>
  </sheetViews>
  <sheetFormatPr defaultRowHeight="15" x14ac:dyDescent="0.25"/>
  <cols>
    <col min="1" max="1" width="17" bestFit="1" customWidth="1"/>
    <col min="2" max="2" width="17.85546875" bestFit="1" customWidth="1"/>
    <col min="3" max="3" width="11.5703125" bestFit="1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Pivot 1</vt:lpstr>
      <vt:lpstr>Pivot 2</vt:lpstr>
      <vt:lpstr>Pivot 3</vt:lpstr>
      <vt:lpstr>Pivot 4</vt:lpstr>
      <vt:lpstr>Pivot 5</vt:lpstr>
      <vt:lpstr>Dashboard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2026-06-15T19:23:29Z</dcterms:modified>
</cp:coreProperties>
</file>